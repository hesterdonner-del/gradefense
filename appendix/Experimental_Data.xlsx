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wlg2o\Documents\景艺大\毕业设计\毕设\4-GraDefense\gradefense\appendix\"/>
    </mc:Choice>
  </mc:AlternateContent>
  <xr:revisionPtr revIDLastSave="0" documentId="13_ncr:1_{EF513012-5684-4E2F-954B-0F0A96EA2DC3}" xr6:coauthVersionLast="47" xr6:coauthVersionMax="47" xr10:uidLastSave="{00000000-0000-0000-0000-000000000000}"/>
  <bookViews>
    <workbookView xWindow="-110" yWindow="-110" windowWidth="21820" windowHeight="13900" activeTab="1" xr2:uid="{00000000-000D-0000-FFFF-FFFF00000000}"/>
  </bookViews>
  <sheets>
    <sheet name="总数据" sheetId="1" r:id="rId1"/>
    <sheet name="抗折强度" sheetId="2" r:id="rId2"/>
    <sheet name="线收缩率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3" l="1"/>
  <c r="G7" i="3"/>
  <c r="H7" i="3"/>
  <c r="C7" i="3"/>
  <c r="D7" i="3"/>
  <c r="E7" i="3"/>
  <c r="I7" i="3"/>
  <c r="B7" i="3"/>
  <c r="O55" i="1"/>
  <c r="N55" i="1"/>
  <c r="M55" i="1"/>
  <c r="L55" i="1"/>
  <c r="K55" i="1"/>
  <c r="K50" i="1"/>
  <c r="K49" i="1"/>
  <c r="K48" i="1"/>
  <c r="K47" i="1"/>
  <c r="K46" i="1"/>
  <c r="G55" i="1"/>
  <c r="F55" i="1"/>
  <c r="E55" i="1"/>
  <c r="D55" i="1"/>
  <c r="C55" i="1"/>
  <c r="C50" i="1"/>
  <c r="C49" i="1"/>
  <c r="C48" i="1"/>
  <c r="C47" i="1"/>
  <c r="C46" i="1"/>
  <c r="O41" i="1"/>
  <c r="N41" i="1"/>
  <c r="M41" i="1"/>
  <c r="L41" i="1"/>
  <c r="K41" i="1"/>
  <c r="K36" i="1"/>
  <c r="K35" i="1"/>
  <c r="K34" i="1"/>
  <c r="K33" i="1"/>
  <c r="K32" i="1"/>
  <c r="G41" i="1"/>
  <c r="F41" i="1"/>
  <c r="E41" i="1"/>
  <c r="D41" i="1"/>
  <c r="C41" i="1"/>
  <c r="C36" i="1"/>
  <c r="C35" i="1"/>
  <c r="C34" i="1"/>
  <c r="C33" i="1"/>
  <c r="C32" i="1"/>
  <c r="G27" i="1"/>
  <c r="F27" i="1"/>
  <c r="E27" i="1"/>
  <c r="D27" i="1"/>
  <c r="C27" i="1"/>
  <c r="C22" i="1"/>
  <c r="C21" i="1"/>
  <c r="C20" i="1"/>
  <c r="C19" i="1"/>
  <c r="C18" i="1"/>
  <c r="O27" i="1"/>
  <c r="N27" i="1"/>
  <c r="M27" i="1"/>
  <c r="L27" i="1"/>
  <c r="K27" i="1"/>
  <c r="K22" i="1"/>
  <c r="K21" i="1"/>
  <c r="K20" i="1"/>
  <c r="K19" i="1"/>
  <c r="K18" i="1"/>
  <c r="O13" i="1"/>
  <c r="N13" i="1"/>
  <c r="M13" i="1"/>
  <c r="L13" i="1"/>
  <c r="K13" i="1"/>
  <c r="G13" i="1"/>
  <c r="F13" i="1"/>
  <c r="E13" i="1"/>
  <c r="D13" i="1"/>
  <c r="C13" i="1"/>
  <c r="K8" i="1"/>
  <c r="K7" i="1"/>
  <c r="K6" i="1"/>
  <c r="K5" i="1"/>
  <c r="K4" i="1"/>
  <c r="C2" i="1"/>
  <c r="E4" i="1"/>
  <c r="C4" i="1" s="1"/>
  <c r="C3" i="1"/>
  <c r="H55" i="1" l="1"/>
  <c r="H41" i="1"/>
  <c r="P55" i="1"/>
  <c r="H27" i="1"/>
  <c r="P41" i="1"/>
  <c r="P27" i="1"/>
  <c r="P13" i="1"/>
  <c r="E5" i="1"/>
  <c r="C5" i="1" s="1"/>
  <c r="H13" i="1"/>
  <c r="C6" i="1" l="1"/>
</calcChain>
</file>

<file path=xl/sharedStrings.xml><?xml version="1.0" encoding="utf-8"?>
<sst xmlns="http://schemas.openxmlformats.org/spreadsheetml/2006/main" count="152" uniqueCount="38">
  <si>
    <t>AS#1</t>
    <phoneticPr fontId="2" type="noConversion"/>
  </si>
  <si>
    <t>抗折强度</t>
    <phoneticPr fontId="2" type="noConversion"/>
  </si>
  <si>
    <r>
      <rPr>
        <sz val="11"/>
        <color theme="1"/>
        <rFont val="宋体"/>
        <family val="3"/>
        <charset val="134"/>
      </rPr>
      <t>最大载荷</t>
    </r>
    <phoneticPr fontId="2" type="noConversion"/>
  </si>
  <si>
    <r>
      <rPr>
        <sz val="11"/>
        <color theme="1"/>
        <rFont val="宋体"/>
        <family val="3"/>
        <charset val="134"/>
      </rPr>
      <t>刀口距离</t>
    </r>
    <phoneticPr fontId="2" type="noConversion"/>
  </si>
  <si>
    <r>
      <rPr>
        <sz val="11"/>
        <color theme="1"/>
        <rFont val="宋体"/>
        <family val="3"/>
        <charset val="134"/>
      </rPr>
      <t>宽度</t>
    </r>
    <phoneticPr fontId="2" type="noConversion"/>
  </si>
  <si>
    <r>
      <rPr>
        <sz val="11"/>
        <color theme="1"/>
        <rFont val="宋体"/>
        <family val="3"/>
        <charset val="134"/>
      </rPr>
      <t>厚度</t>
    </r>
    <phoneticPr fontId="2" type="noConversion"/>
  </si>
  <si>
    <r>
      <rPr>
        <sz val="11"/>
        <color theme="1"/>
        <rFont val="宋体"/>
        <family val="1"/>
        <charset val="134"/>
      </rPr>
      <t>加载速率</t>
    </r>
    <phoneticPr fontId="2" type="noConversion"/>
  </si>
  <si>
    <t>单位</t>
    <phoneticPr fontId="2" type="noConversion"/>
  </si>
  <si>
    <t>MPa</t>
    <phoneticPr fontId="2" type="noConversion"/>
  </si>
  <si>
    <t>N</t>
    <phoneticPr fontId="2" type="noConversion"/>
  </si>
  <si>
    <t>mm</t>
    <phoneticPr fontId="2" type="noConversion"/>
  </si>
  <si>
    <t>AS#2</t>
    <phoneticPr fontId="2" type="noConversion"/>
  </si>
  <si>
    <t>l1</t>
    <phoneticPr fontId="2" type="noConversion"/>
  </si>
  <si>
    <t>l2</t>
    <phoneticPr fontId="2" type="noConversion"/>
  </si>
  <si>
    <t>AS#4</t>
    <phoneticPr fontId="2" type="noConversion"/>
  </si>
  <si>
    <t>#1</t>
    <phoneticPr fontId="2" type="noConversion"/>
  </si>
  <si>
    <t>#2</t>
    <phoneticPr fontId="2" type="noConversion"/>
  </si>
  <si>
    <t>#3</t>
  </si>
  <si>
    <t>#4</t>
    <phoneticPr fontId="2" type="noConversion"/>
  </si>
  <si>
    <t>#5</t>
  </si>
  <si>
    <t>#6</t>
  </si>
  <si>
    <t>#7</t>
  </si>
  <si>
    <t>#8</t>
  </si>
  <si>
    <t>AS#3</t>
    <phoneticPr fontId="2" type="noConversion"/>
  </si>
  <si>
    <t>AS#5</t>
    <phoneticPr fontId="2" type="noConversion"/>
  </si>
  <si>
    <t xml:space="preserve"> </t>
    <phoneticPr fontId="2" type="noConversion"/>
  </si>
  <si>
    <t>AS#6</t>
    <phoneticPr fontId="2" type="noConversion"/>
  </si>
  <si>
    <t>AS#7</t>
    <phoneticPr fontId="2" type="noConversion"/>
  </si>
  <si>
    <t>AS#8</t>
    <phoneticPr fontId="2" type="noConversion"/>
  </si>
  <si>
    <t>AV</t>
    <phoneticPr fontId="2" type="noConversion"/>
  </si>
  <si>
    <t>1#</t>
    <phoneticPr fontId="2" type="noConversion"/>
  </si>
  <si>
    <t>2#</t>
  </si>
  <si>
    <t>3#</t>
  </si>
  <si>
    <t>4#</t>
  </si>
  <si>
    <t>5#</t>
  </si>
  <si>
    <t>6#</t>
  </si>
  <si>
    <t>7#</t>
  </si>
  <si>
    <t>8#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</si>
</sst>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0_ "/>
    <numFmt numFmtId="178" formatCode="0.000_);[Red]\(0.000\)"/>
  </numFmts>
  <fonts count="10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76" fontId="1" fillId="0" borderId="9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7" fontId="1" fillId="0" borderId="8" xfId="0" applyNumberFormat="1" applyFont="1" applyBorder="1" applyAlignment="1">
      <alignment horizontal="center" vertical="center"/>
    </xf>
    <xf numFmtId="177" fontId="1" fillId="0" borderId="9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77" fontId="1" fillId="0" borderId="1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178" fontId="1" fillId="0" borderId="1" xfId="0" applyNumberFormat="1" applyFont="1" applyBorder="1" applyAlignment="1">
      <alignment horizontal="center" vertical="center"/>
    </xf>
    <xf numFmtId="178" fontId="1" fillId="0" borderId="2" xfId="0" applyNumberFormat="1" applyFont="1" applyBorder="1" applyAlignment="1">
      <alignment horizontal="center" vertical="center"/>
    </xf>
    <xf numFmtId="178" fontId="1" fillId="0" borderId="8" xfId="0" applyNumberFormat="1" applyFont="1" applyBorder="1" applyAlignment="1">
      <alignment horizontal="center" vertical="center"/>
    </xf>
    <xf numFmtId="178" fontId="1" fillId="0" borderId="9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/>
    <xf numFmtId="176" fontId="0" fillId="0" borderId="0" xfId="0" applyNumberFormat="1" applyAlignment="1">
      <alignment horizontal="right"/>
    </xf>
    <xf numFmtId="0" fontId="7" fillId="0" borderId="0" xfId="0" applyFont="1" applyAlignment="1">
      <alignment horizontal="center"/>
    </xf>
    <xf numFmtId="176" fontId="8" fillId="0" borderId="0" xfId="0" applyNumberFormat="1" applyFont="1" applyAlignment="1">
      <alignment horizontal="right"/>
    </xf>
    <xf numFmtId="10" fontId="0" fillId="0" borderId="0" xfId="0" applyNumberFormat="1"/>
    <xf numFmtId="10" fontId="9" fillId="0" borderId="0" xfId="0" applyNumberFormat="1" applyFont="1"/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常规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57"/>
  <sheetViews>
    <sheetView zoomScale="85" workbookViewId="0">
      <selection activeCell="H63" sqref="H63"/>
    </sheetView>
  </sheetViews>
  <sheetFormatPr defaultRowHeight="14" x14ac:dyDescent="0.3"/>
  <cols>
    <col min="9" max="9" width="10.58203125" customWidth="1"/>
  </cols>
  <sheetData>
    <row r="1" spans="2:16" ht="14.5" thickBot="1" x14ac:dyDescent="0.35"/>
    <row r="2" spans="2:16" x14ac:dyDescent="0.3">
      <c r="B2" s="1">
        <v>1</v>
      </c>
      <c r="C2" s="2">
        <f t="shared" ref="C2:C6" si="0">3*D2*E2 / (2*F2*G2*G2)</f>
        <v>108.48723015217651</v>
      </c>
      <c r="D2" s="3">
        <v>689.6</v>
      </c>
      <c r="E2" s="3">
        <v>22.76</v>
      </c>
      <c r="F2" s="3">
        <v>6.92</v>
      </c>
      <c r="G2" s="3">
        <v>5.6</v>
      </c>
      <c r="H2" s="40" t="s">
        <v>0</v>
      </c>
      <c r="J2" s="12"/>
      <c r="K2" s="13" t="s">
        <v>1</v>
      </c>
      <c r="L2" s="3" t="s">
        <v>2</v>
      </c>
      <c r="M2" s="3" t="s">
        <v>3</v>
      </c>
      <c r="N2" s="3" t="s">
        <v>4</v>
      </c>
      <c r="O2" s="3" t="s">
        <v>5</v>
      </c>
      <c r="P2" s="14" t="s">
        <v>6</v>
      </c>
    </row>
    <row r="3" spans="2:16" ht="14.5" thickBot="1" x14ac:dyDescent="0.35">
      <c r="B3" s="4">
        <v>2</v>
      </c>
      <c r="C3" s="5">
        <f t="shared" si="0"/>
        <v>112.33942807904918</v>
      </c>
      <c r="D3" s="6">
        <v>652.20000000000005</v>
      </c>
      <c r="E3" s="6">
        <v>24.6</v>
      </c>
      <c r="F3" s="6">
        <v>6.98</v>
      </c>
      <c r="G3" s="6">
        <v>5.54</v>
      </c>
      <c r="H3" s="41"/>
      <c r="J3" s="15" t="s">
        <v>7</v>
      </c>
      <c r="K3" s="6" t="s">
        <v>8</v>
      </c>
      <c r="L3" s="6" t="s">
        <v>9</v>
      </c>
      <c r="M3" s="6" t="s">
        <v>10</v>
      </c>
      <c r="N3" s="6" t="s">
        <v>10</v>
      </c>
      <c r="O3" s="6" t="s">
        <v>10</v>
      </c>
      <c r="P3" s="7">
        <v>20</v>
      </c>
    </row>
    <row r="4" spans="2:16" x14ac:dyDescent="0.3">
      <c r="B4" s="4">
        <v>3</v>
      </c>
      <c r="C4" s="5">
        <f t="shared" si="0"/>
        <v>126.52980574929931</v>
      </c>
      <c r="D4" s="6">
        <v>727.2</v>
      </c>
      <c r="E4" s="6">
        <f>E3</f>
        <v>24.6</v>
      </c>
      <c r="F4" s="6">
        <v>6.96</v>
      </c>
      <c r="G4" s="6">
        <v>5.52</v>
      </c>
      <c r="H4" s="41"/>
      <c r="J4" s="4">
        <v>1</v>
      </c>
      <c r="K4" s="5">
        <f>(3 * L4 * M4) / (2 * N4 * O4^2 )</f>
        <v>132.21279358107736</v>
      </c>
      <c r="L4" s="5">
        <v>534</v>
      </c>
      <c r="M4" s="5">
        <v>30.5</v>
      </c>
      <c r="N4" s="5">
        <v>6.94</v>
      </c>
      <c r="O4" s="5">
        <v>5.16</v>
      </c>
      <c r="P4" s="40" t="s">
        <v>11</v>
      </c>
    </row>
    <row r="5" spans="2:16" ht="14.5" thickBot="1" x14ac:dyDescent="0.35">
      <c r="B5" s="4">
        <v>4</v>
      </c>
      <c r="C5" s="5">
        <f t="shared" si="0"/>
        <v>124.05234496949055</v>
      </c>
      <c r="D5" s="6">
        <v>682.3</v>
      </c>
      <c r="E5" s="6">
        <f>E4</f>
        <v>24.6</v>
      </c>
      <c r="F5" s="6">
        <v>6.96</v>
      </c>
      <c r="G5" s="6">
        <v>5.4</v>
      </c>
      <c r="H5" s="42"/>
      <c r="J5" s="4">
        <v>2</v>
      </c>
      <c r="K5" s="5">
        <f t="shared" ref="K5:K8" si="1">(3 * L5 * M5) / (2 * N5 * O5 * O5)</f>
        <v>107.2534386119509</v>
      </c>
      <c r="L5" s="5">
        <v>480.7</v>
      </c>
      <c r="M5" s="5">
        <v>30.5</v>
      </c>
      <c r="N5" s="5">
        <v>6.98</v>
      </c>
      <c r="O5" s="5">
        <v>5.42</v>
      </c>
      <c r="P5" s="41"/>
    </row>
    <row r="6" spans="2:16" x14ac:dyDescent="0.3">
      <c r="B6" s="4">
        <v>5</v>
      </c>
      <c r="C6" s="5">
        <f t="shared" si="0"/>
        <v>77.615407066365975</v>
      </c>
      <c r="D6" s="6">
        <v>421.8</v>
      </c>
      <c r="E6" s="6">
        <v>24.6</v>
      </c>
      <c r="F6" s="6">
        <v>6.98</v>
      </c>
      <c r="G6" s="6">
        <v>5.36</v>
      </c>
      <c r="H6" s="7">
        <v>30</v>
      </c>
      <c r="J6" s="4">
        <v>3</v>
      </c>
      <c r="K6" s="5">
        <f t="shared" si="1"/>
        <v>108.06880439924622</v>
      </c>
      <c r="L6" s="5">
        <v>492.3</v>
      </c>
      <c r="M6" s="5">
        <v>30.5</v>
      </c>
      <c r="N6" s="5">
        <v>6.94</v>
      </c>
      <c r="O6" s="5">
        <v>5.48</v>
      </c>
      <c r="P6" s="41"/>
    </row>
    <row r="7" spans="2:16" x14ac:dyDescent="0.3">
      <c r="B7" s="4"/>
      <c r="C7" s="8" t="s">
        <v>1</v>
      </c>
      <c r="D7" s="6" t="s">
        <v>2</v>
      </c>
      <c r="E7" s="6" t="s">
        <v>3</v>
      </c>
      <c r="F7" s="6" t="s">
        <v>4</v>
      </c>
      <c r="G7" s="6" t="s">
        <v>5</v>
      </c>
      <c r="H7" s="7" t="s">
        <v>6</v>
      </c>
      <c r="J7" s="4">
        <v>4</v>
      </c>
      <c r="K7" s="5">
        <f t="shared" si="1"/>
        <v>125.0525218406962</v>
      </c>
      <c r="L7" s="5">
        <v>563</v>
      </c>
      <c r="M7" s="5">
        <v>30.5</v>
      </c>
      <c r="N7" s="5">
        <v>6.96</v>
      </c>
      <c r="O7" s="5">
        <v>5.44</v>
      </c>
      <c r="P7" s="41"/>
    </row>
    <row r="8" spans="2:16" ht="14.5" thickBot="1" x14ac:dyDescent="0.35">
      <c r="B8" s="9" t="s">
        <v>7</v>
      </c>
      <c r="C8" s="10" t="s">
        <v>8</v>
      </c>
      <c r="D8" s="10" t="s">
        <v>9</v>
      </c>
      <c r="E8" s="10" t="s">
        <v>10</v>
      </c>
      <c r="F8" s="10" t="s">
        <v>10</v>
      </c>
      <c r="G8" s="10" t="s">
        <v>10</v>
      </c>
      <c r="H8" s="11"/>
      <c r="J8" s="16">
        <v>5</v>
      </c>
      <c r="K8" s="17">
        <f t="shared" si="1"/>
        <v>98.316990177113254</v>
      </c>
      <c r="L8" s="17">
        <v>449.2</v>
      </c>
      <c r="M8" s="17">
        <v>30.5</v>
      </c>
      <c r="N8" s="17">
        <v>6.86</v>
      </c>
      <c r="O8" s="17">
        <v>5.52</v>
      </c>
      <c r="P8" s="42"/>
    </row>
    <row r="10" spans="2:16" ht="14.5" thickBot="1" x14ac:dyDescent="0.35">
      <c r="B10" s="11"/>
      <c r="C10" s="6">
        <v>1</v>
      </c>
      <c r="D10" s="6">
        <v>2</v>
      </c>
      <c r="E10" s="6">
        <v>3</v>
      </c>
      <c r="F10" s="6">
        <v>4</v>
      </c>
      <c r="G10" s="6">
        <v>5</v>
      </c>
      <c r="H10" s="18"/>
      <c r="J10" s="6"/>
      <c r="K10" s="4">
        <v>1</v>
      </c>
      <c r="L10" s="6">
        <v>2</v>
      </c>
      <c r="M10" s="6">
        <v>3</v>
      </c>
      <c r="N10" s="6">
        <v>4</v>
      </c>
      <c r="O10" s="7">
        <v>5</v>
      </c>
      <c r="P10" s="6"/>
    </row>
    <row r="11" spans="2:16" x14ac:dyDescent="0.3">
      <c r="B11" s="6" t="s">
        <v>12</v>
      </c>
      <c r="C11" s="19">
        <v>4.49</v>
      </c>
      <c r="D11" s="20">
        <v>4.4859999999999998</v>
      </c>
      <c r="E11" s="20">
        <v>4.4820000000000002</v>
      </c>
      <c r="F11" s="20">
        <v>4.4870000000000001</v>
      </c>
      <c r="G11" s="20">
        <v>4.4820000000000002</v>
      </c>
      <c r="H11" s="43" t="s">
        <v>0</v>
      </c>
      <c r="J11" s="3" t="s">
        <v>12</v>
      </c>
      <c r="K11" s="19">
        <v>4.4939999999999998</v>
      </c>
      <c r="L11" s="20">
        <v>4.492</v>
      </c>
      <c r="M11" s="20">
        <v>4.4960000000000004</v>
      </c>
      <c r="N11" s="20">
        <v>4.4980000000000002</v>
      </c>
      <c r="O11" s="26">
        <v>4.5</v>
      </c>
      <c r="P11" s="43" t="s">
        <v>11</v>
      </c>
    </row>
    <row r="12" spans="2:16" ht="14.5" thickBot="1" x14ac:dyDescent="0.35">
      <c r="B12" s="6" t="s">
        <v>13</v>
      </c>
      <c r="C12" s="21">
        <v>4.32</v>
      </c>
      <c r="D12" s="22">
        <v>4.33</v>
      </c>
      <c r="E12" s="22">
        <v>4.3179999999999996</v>
      </c>
      <c r="F12" s="22">
        <v>4.3179999999999996</v>
      </c>
      <c r="G12" s="22">
        <v>4.33</v>
      </c>
      <c r="H12" s="44"/>
      <c r="J12" s="10" t="s">
        <v>13</v>
      </c>
      <c r="K12" s="16">
        <v>4.3159999999999998</v>
      </c>
      <c r="L12" s="10">
        <v>4.3239999999999998</v>
      </c>
      <c r="M12" s="10">
        <v>4.3440000000000003</v>
      </c>
      <c r="N12" s="10">
        <v>4.3280000000000003</v>
      </c>
      <c r="O12" s="11">
        <v>4.3179999999999996</v>
      </c>
      <c r="P12" s="44"/>
    </row>
    <row r="13" spans="2:16" x14ac:dyDescent="0.3">
      <c r="B13" s="14"/>
      <c r="C13" s="23">
        <f t="shared" ref="C13:G13" si="2">(C11-C12)/C11</f>
        <v>3.7861915367483276E-2</v>
      </c>
      <c r="D13" s="24">
        <f t="shared" si="2"/>
        <v>3.4774855104770332E-2</v>
      </c>
      <c r="E13" s="24">
        <f t="shared" si="2"/>
        <v>3.6590807675145151E-2</v>
      </c>
      <c r="F13" s="24">
        <f t="shared" si="2"/>
        <v>3.7664363717405946E-2</v>
      </c>
      <c r="G13" s="24">
        <f t="shared" si="2"/>
        <v>3.391343150379298E-2</v>
      </c>
      <c r="H13" s="25">
        <f>AVERAGE(C13:G13)</f>
        <v>3.6161074673719533E-2</v>
      </c>
      <c r="J13" s="6"/>
      <c r="K13" s="25">
        <f>(K11-K12)/K11</f>
        <v>3.9608366711170434E-2</v>
      </c>
      <c r="L13" s="24">
        <f>(L11-L12) / L11</f>
        <v>3.7399821905610003E-2</v>
      </c>
      <c r="M13" s="24">
        <f t="shared" ref="M13:O13" si="3">(M11-M12) / M11</f>
        <v>3.3807829181494692E-2</v>
      </c>
      <c r="N13" s="24">
        <f t="shared" si="3"/>
        <v>3.7794575366829682E-2</v>
      </c>
      <c r="O13" s="24">
        <f t="shared" si="3"/>
        <v>4.0444444444444533E-2</v>
      </c>
      <c r="P13" s="23">
        <f>AVERAGE(K13:O13)</f>
        <v>3.781100752190987E-2</v>
      </c>
    </row>
    <row r="14" spans="2:16" ht="20" customHeight="1" x14ac:dyDescent="0.3">
      <c r="B14" s="6"/>
      <c r="C14" s="24"/>
      <c r="D14" s="24"/>
      <c r="E14" s="24"/>
      <c r="F14" s="24"/>
      <c r="G14" s="24"/>
      <c r="H14" s="24"/>
      <c r="J14" s="6"/>
      <c r="K14" s="24"/>
      <c r="L14" s="24"/>
      <c r="M14" s="24"/>
      <c r="N14" s="24"/>
      <c r="O14" s="24"/>
      <c r="P14" s="24"/>
    </row>
    <row r="15" spans="2:16" ht="20" customHeight="1" thickBot="1" x14ac:dyDescent="0.35">
      <c r="B15" s="6"/>
      <c r="C15" s="24"/>
      <c r="D15" s="24"/>
      <c r="E15" s="24"/>
      <c r="F15" s="24"/>
      <c r="G15" s="24"/>
      <c r="H15" s="24"/>
      <c r="I15" s="24"/>
    </row>
    <row r="16" spans="2:16" x14ac:dyDescent="0.3">
      <c r="B16" s="12"/>
      <c r="C16" s="13" t="s">
        <v>1</v>
      </c>
      <c r="D16" s="3" t="s">
        <v>2</v>
      </c>
      <c r="E16" s="3" t="s">
        <v>3</v>
      </c>
      <c r="F16" s="3" t="s">
        <v>4</v>
      </c>
      <c r="G16" s="3" t="s">
        <v>5</v>
      </c>
      <c r="H16" s="14" t="s">
        <v>6</v>
      </c>
      <c r="J16" s="12"/>
      <c r="K16" s="13" t="s">
        <v>1</v>
      </c>
      <c r="L16" s="3" t="s">
        <v>2</v>
      </c>
      <c r="M16" s="3" t="s">
        <v>3</v>
      </c>
      <c r="N16" s="3" t="s">
        <v>4</v>
      </c>
      <c r="O16" s="3" t="s">
        <v>5</v>
      </c>
      <c r="P16" s="14" t="s">
        <v>6</v>
      </c>
    </row>
    <row r="17" spans="2:16" ht="14.5" thickBot="1" x14ac:dyDescent="0.35">
      <c r="B17" s="15" t="s">
        <v>7</v>
      </c>
      <c r="C17" s="6" t="s">
        <v>8</v>
      </c>
      <c r="D17" s="6" t="s">
        <v>9</v>
      </c>
      <c r="E17" s="6" t="s">
        <v>10</v>
      </c>
      <c r="F17" s="6" t="s">
        <v>10</v>
      </c>
      <c r="G17" s="6" t="s">
        <v>10</v>
      </c>
      <c r="H17" s="7">
        <v>20</v>
      </c>
      <c r="J17" s="15" t="s">
        <v>7</v>
      </c>
      <c r="K17" s="6" t="s">
        <v>8</v>
      </c>
      <c r="L17" s="6" t="s">
        <v>9</v>
      </c>
      <c r="M17" s="6" t="s">
        <v>10</v>
      </c>
      <c r="N17" s="6" t="s">
        <v>10</v>
      </c>
      <c r="O17" s="6" t="s">
        <v>10</v>
      </c>
      <c r="P17" s="7">
        <v>20</v>
      </c>
    </row>
    <row r="18" spans="2:16" x14ac:dyDescent="0.3">
      <c r="B18" s="4">
        <v>1</v>
      </c>
      <c r="C18" s="5">
        <f>(3 * D18 * E18) / (2 * F18 * G18^2 )</f>
        <v>98.86749624403943</v>
      </c>
      <c r="D18" s="5">
        <v>436.7</v>
      </c>
      <c r="E18" s="5">
        <v>30.5</v>
      </c>
      <c r="F18" s="5">
        <v>6.93</v>
      </c>
      <c r="G18" s="5">
        <v>5.4</v>
      </c>
      <c r="H18" s="40" t="s">
        <v>23</v>
      </c>
      <c r="J18" s="4">
        <v>1</v>
      </c>
      <c r="K18" s="5">
        <f>(3 * L18 * M18) / (2 * N18 * O18^2 )</f>
        <v>119.30616747820217</v>
      </c>
      <c r="L18" s="5">
        <v>490.3</v>
      </c>
      <c r="M18" s="5">
        <v>30.5</v>
      </c>
      <c r="N18" s="5">
        <v>6.9</v>
      </c>
      <c r="O18" s="5">
        <v>5.22</v>
      </c>
      <c r="P18" s="40" t="s">
        <v>14</v>
      </c>
    </row>
    <row r="19" spans="2:16" x14ac:dyDescent="0.3">
      <c r="B19" s="4">
        <v>2</v>
      </c>
      <c r="C19" s="5">
        <f>(3 * D19 * E19) / (2 * F19 * G19 * G19)</f>
        <v>134.17845687091949</v>
      </c>
      <c r="D19" s="5">
        <v>598.29999999999995</v>
      </c>
      <c r="E19" s="5">
        <v>30.5</v>
      </c>
      <c r="F19" s="5">
        <v>6.97</v>
      </c>
      <c r="G19" s="5">
        <v>5.41</v>
      </c>
      <c r="H19" s="41"/>
      <c r="J19" s="4">
        <v>2</v>
      </c>
      <c r="K19" s="5">
        <f>(3 * L19 * M19) / (2 * N19 * O19 * O19)</f>
        <v>124.59231453824486</v>
      </c>
      <c r="L19" s="5">
        <v>545.79999999999995</v>
      </c>
      <c r="M19" s="5">
        <v>30.5</v>
      </c>
      <c r="N19" s="5">
        <v>6.95</v>
      </c>
      <c r="O19" s="5">
        <v>5.37</v>
      </c>
      <c r="P19" s="41"/>
    </row>
    <row r="20" spans="2:16" x14ac:dyDescent="0.3">
      <c r="B20" s="4">
        <v>3</v>
      </c>
      <c r="C20" s="5">
        <f>(3 * D20 * E20) / (2 * F20 * G20 * G20)</f>
        <v>88.940402263197697</v>
      </c>
      <c r="D20" s="5">
        <v>422.1</v>
      </c>
      <c r="E20" s="5">
        <v>30.5</v>
      </c>
      <c r="F20" s="5">
        <v>6.85</v>
      </c>
      <c r="G20" s="5">
        <v>5.63</v>
      </c>
      <c r="H20" s="41"/>
      <c r="J20" s="4">
        <v>3</v>
      </c>
      <c r="K20" s="5">
        <f>(3 * L20 * M20) / (2 * N20 * O20 * O20)</f>
        <v>101.18014709418229</v>
      </c>
      <c r="L20" s="5">
        <v>482.9</v>
      </c>
      <c r="M20" s="5">
        <v>30.5</v>
      </c>
      <c r="N20" s="5">
        <v>6.84</v>
      </c>
      <c r="O20" s="5">
        <v>5.65</v>
      </c>
      <c r="P20" s="41"/>
    </row>
    <row r="21" spans="2:16" x14ac:dyDescent="0.3">
      <c r="B21" s="4">
        <v>4</v>
      </c>
      <c r="C21" s="5">
        <f>(3 * D21 * E21) / (2 * F21 * G21 * G21)</f>
        <v>122.22059044380605</v>
      </c>
      <c r="D21" s="5">
        <v>502.3</v>
      </c>
      <c r="E21" s="5">
        <v>30.5</v>
      </c>
      <c r="F21" s="5">
        <v>6.77</v>
      </c>
      <c r="G21" s="5">
        <v>5.27</v>
      </c>
      <c r="H21" s="41"/>
      <c r="J21" s="4">
        <v>4</v>
      </c>
      <c r="K21" s="5">
        <f>(3 * L21 * M21) / (2 * N21 * O21 * O21)</f>
        <v>130.26873675021818</v>
      </c>
      <c r="L21" s="5">
        <v>575.4</v>
      </c>
      <c r="M21" s="5">
        <v>30.5</v>
      </c>
      <c r="N21" s="5">
        <v>6.93</v>
      </c>
      <c r="O21" s="5">
        <v>5.4</v>
      </c>
      <c r="P21" s="41"/>
    </row>
    <row r="22" spans="2:16" ht="14.5" thickBot="1" x14ac:dyDescent="0.35">
      <c r="B22" s="16">
        <v>5</v>
      </c>
      <c r="C22" s="17">
        <f>(3 * D22 * E22) / (2 * F22 * G22 * G22)</f>
        <v>137.33546521857301</v>
      </c>
      <c r="D22" s="17">
        <v>594.4</v>
      </c>
      <c r="E22" s="17">
        <v>30.5</v>
      </c>
      <c r="F22" s="17">
        <v>6.97</v>
      </c>
      <c r="G22" s="17">
        <v>5.33</v>
      </c>
      <c r="H22" s="42"/>
      <c r="J22" s="16">
        <v>5</v>
      </c>
      <c r="K22" s="17">
        <f>(3 * L22 * M22) / (2 * N22 * O22 * O22)</f>
        <v>114.42711264474954</v>
      </c>
      <c r="L22" s="17">
        <v>491.5</v>
      </c>
      <c r="M22" s="17">
        <v>30.5</v>
      </c>
      <c r="N22" s="17">
        <v>6.84</v>
      </c>
      <c r="O22" s="17">
        <v>5.36</v>
      </c>
      <c r="P22" s="42"/>
    </row>
    <row r="23" spans="2:16" x14ac:dyDescent="0.3">
      <c r="B23" s="27"/>
      <c r="C23" s="27" t="s">
        <v>25</v>
      </c>
      <c r="D23" s="27"/>
      <c r="E23" s="27"/>
      <c r="F23" s="27"/>
      <c r="G23" s="27"/>
      <c r="H23" s="27"/>
      <c r="J23" s="27"/>
      <c r="K23" s="27" t="s">
        <v>25</v>
      </c>
      <c r="L23" s="27"/>
      <c r="M23" s="27"/>
      <c r="N23" s="27"/>
      <c r="O23" s="27"/>
      <c r="P23" s="27"/>
    </row>
    <row r="24" spans="2:16" ht="14.5" thickBot="1" x14ac:dyDescent="0.35">
      <c r="B24" s="6"/>
      <c r="C24" s="4">
        <v>1</v>
      </c>
      <c r="D24" s="6">
        <v>2</v>
      </c>
      <c r="E24" s="6">
        <v>3</v>
      </c>
      <c r="F24" s="6">
        <v>4</v>
      </c>
      <c r="G24" s="6">
        <v>5</v>
      </c>
      <c r="H24" s="28"/>
      <c r="J24" s="6"/>
      <c r="K24" s="4">
        <v>1</v>
      </c>
      <c r="L24" s="6">
        <v>2</v>
      </c>
      <c r="M24" s="6">
        <v>3</v>
      </c>
      <c r="N24" s="6">
        <v>4</v>
      </c>
      <c r="O24" s="6">
        <v>5</v>
      </c>
      <c r="P24" s="28"/>
    </row>
    <row r="25" spans="2:16" x14ac:dyDescent="0.3">
      <c r="B25" s="3" t="s">
        <v>12</v>
      </c>
      <c r="C25" s="29">
        <v>4.4980000000000002</v>
      </c>
      <c r="D25" s="30">
        <v>4.4939999999999998</v>
      </c>
      <c r="E25" s="30">
        <v>4.4960000000000004</v>
      </c>
      <c r="F25" s="30">
        <v>4.4980000000000002</v>
      </c>
      <c r="G25" s="30">
        <v>4.49</v>
      </c>
      <c r="H25" s="43" t="s">
        <v>23</v>
      </c>
      <c r="J25" s="3" t="s">
        <v>12</v>
      </c>
      <c r="K25" s="29">
        <v>4.49</v>
      </c>
      <c r="L25" s="30">
        <v>4.492</v>
      </c>
      <c r="M25" s="30">
        <v>4.4960000000000004</v>
      </c>
      <c r="N25" s="30">
        <v>4.4980000000000002</v>
      </c>
      <c r="O25" s="30">
        <v>4.49</v>
      </c>
      <c r="P25" s="43" t="s">
        <v>14</v>
      </c>
    </row>
    <row r="26" spans="2:16" ht="14.5" thickBot="1" x14ac:dyDescent="0.35">
      <c r="B26" s="10" t="s">
        <v>13</v>
      </c>
      <c r="C26" s="31">
        <v>4.3259999999999996</v>
      </c>
      <c r="D26" s="32">
        <v>4.33</v>
      </c>
      <c r="E26" s="32">
        <v>4.3220000000000001</v>
      </c>
      <c r="F26" s="32">
        <v>4.3239999999999998</v>
      </c>
      <c r="G26" s="32">
        <v>4.32</v>
      </c>
      <c r="H26" s="44"/>
      <c r="J26" s="10" t="s">
        <v>13</v>
      </c>
      <c r="K26" s="31">
        <v>4.3319999999999999</v>
      </c>
      <c r="L26" s="32">
        <v>4.3380000000000001</v>
      </c>
      <c r="M26" s="32">
        <v>4.3360000000000003</v>
      </c>
      <c r="N26" s="32">
        <v>4.33</v>
      </c>
      <c r="O26" s="32">
        <v>4.3220000000000001</v>
      </c>
      <c r="P26" s="44"/>
    </row>
    <row r="27" spans="2:16" x14ac:dyDescent="0.3">
      <c r="B27" s="6"/>
      <c r="C27" s="25">
        <f>(C25-C26)/C25</f>
        <v>3.8239217429969004E-2</v>
      </c>
      <c r="D27" s="24">
        <f>(D25-D26) / D25</f>
        <v>3.6493101913662597E-2</v>
      </c>
      <c r="E27" s="24">
        <f>(E25-E26) / E25</f>
        <v>3.870106761565844E-2</v>
      </c>
      <c r="F27" s="24">
        <f>(F25-F26) / F25</f>
        <v>3.8683859493108132E-2</v>
      </c>
      <c r="G27" s="24">
        <f>(G25-G26) / G25</f>
        <v>3.7861915367483276E-2</v>
      </c>
      <c r="H27" s="23">
        <f>AVERAGE(C27:G27)</f>
        <v>3.7995832363976287E-2</v>
      </c>
      <c r="J27" s="6"/>
      <c r="K27" s="25">
        <f>(K25-K26)/K25</f>
        <v>3.5189309576837496E-2</v>
      </c>
      <c r="L27" s="24">
        <f>(L25-L26) / L25</f>
        <v>3.4283170080142457E-2</v>
      </c>
      <c r="M27" s="24">
        <f>(M25-M26) / M25</f>
        <v>3.5587188612099675E-2</v>
      </c>
      <c r="N27" s="24">
        <f>(N25-N26) / N25</f>
        <v>3.7349933303690561E-2</v>
      </c>
      <c r="O27" s="24">
        <f>(O25-O26) / O25</f>
        <v>3.741648106904235E-2</v>
      </c>
      <c r="P27" s="23">
        <f>AVERAGE(K27:O27)</f>
        <v>3.5965216528362501E-2</v>
      </c>
    </row>
    <row r="28" spans="2:16" ht="20" customHeight="1" x14ac:dyDescent="0.3">
      <c r="B28" s="6"/>
      <c r="C28" s="24"/>
      <c r="D28" s="24"/>
      <c r="E28" s="24"/>
      <c r="F28" s="24"/>
      <c r="G28" s="24"/>
      <c r="H28" s="24"/>
      <c r="J28" s="6"/>
      <c r="K28" s="24"/>
      <c r="L28" s="24"/>
      <c r="M28" s="24"/>
      <c r="N28" s="24"/>
      <c r="O28" s="24"/>
      <c r="P28" s="24"/>
    </row>
    <row r="29" spans="2:16" ht="20" customHeight="1" thickBot="1" x14ac:dyDescent="0.35"/>
    <row r="30" spans="2:16" x14ac:dyDescent="0.3">
      <c r="B30" s="12"/>
      <c r="C30" s="13" t="s">
        <v>1</v>
      </c>
      <c r="D30" s="3" t="s">
        <v>2</v>
      </c>
      <c r="E30" s="3" t="s">
        <v>3</v>
      </c>
      <c r="F30" s="3" t="s">
        <v>4</v>
      </c>
      <c r="G30" s="3" t="s">
        <v>5</v>
      </c>
      <c r="H30" s="14" t="s">
        <v>6</v>
      </c>
      <c r="J30" s="12"/>
      <c r="K30" s="13" t="s">
        <v>1</v>
      </c>
      <c r="L30" s="3" t="s">
        <v>2</v>
      </c>
      <c r="M30" s="3" t="s">
        <v>3</v>
      </c>
      <c r="N30" s="3" t="s">
        <v>4</v>
      </c>
      <c r="O30" s="3" t="s">
        <v>5</v>
      </c>
      <c r="P30" s="14" t="s">
        <v>6</v>
      </c>
    </row>
    <row r="31" spans="2:16" ht="14.5" thickBot="1" x14ac:dyDescent="0.35">
      <c r="B31" s="15" t="s">
        <v>7</v>
      </c>
      <c r="C31" s="6" t="s">
        <v>8</v>
      </c>
      <c r="D31" s="6" t="s">
        <v>9</v>
      </c>
      <c r="E31" s="6" t="s">
        <v>10</v>
      </c>
      <c r="F31" s="6" t="s">
        <v>10</v>
      </c>
      <c r="G31" s="6" t="s">
        <v>10</v>
      </c>
      <c r="H31" s="7">
        <v>20</v>
      </c>
      <c r="J31" s="15" t="s">
        <v>7</v>
      </c>
      <c r="K31" s="6" t="s">
        <v>8</v>
      </c>
      <c r="L31" s="6" t="s">
        <v>9</v>
      </c>
      <c r="M31" s="6" t="s">
        <v>10</v>
      </c>
      <c r="N31" s="6" t="s">
        <v>10</v>
      </c>
      <c r="O31" s="6" t="s">
        <v>10</v>
      </c>
      <c r="P31" s="7">
        <v>20</v>
      </c>
    </row>
    <row r="32" spans="2:16" x14ac:dyDescent="0.3">
      <c r="B32" s="4">
        <v>1</v>
      </c>
      <c r="C32" s="5">
        <f>(3 * D32 * E32) / (2 * F32 * G32^2 )</f>
        <v>56.797979116032067</v>
      </c>
      <c r="D32" s="5">
        <v>264.8</v>
      </c>
      <c r="E32" s="5">
        <v>30.5</v>
      </c>
      <c r="F32" s="5">
        <v>7</v>
      </c>
      <c r="G32" s="5">
        <v>5.52</v>
      </c>
      <c r="H32" s="40" t="s">
        <v>24</v>
      </c>
      <c r="J32" s="4">
        <v>1</v>
      </c>
      <c r="K32" s="5">
        <f>(3 * L32 * M32) / (2 * N32 * O32^2 )</f>
        <v>101.10197696045338</v>
      </c>
      <c r="L32" s="5">
        <v>432.7</v>
      </c>
      <c r="M32" s="5">
        <v>30.5</v>
      </c>
      <c r="N32" s="5">
        <v>6.79</v>
      </c>
      <c r="O32" s="5">
        <v>5.37</v>
      </c>
      <c r="P32" s="40" t="s">
        <v>26</v>
      </c>
    </row>
    <row r="33" spans="2:16" x14ac:dyDescent="0.3">
      <c r="B33" s="4">
        <v>2</v>
      </c>
      <c r="C33" s="5">
        <f>(3 * D33 * E33) / (2 * F33 * G33 * G33)</f>
        <v>108.01902251353663</v>
      </c>
      <c r="D33" s="5">
        <v>497.1</v>
      </c>
      <c r="E33" s="5">
        <v>30.5</v>
      </c>
      <c r="F33" s="5">
        <v>6.96</v>
      </c>
      <c r="G33" s="5">
        <v>5.5</v>
      </c>
      <c r="H33" s="41"/>
      <c r="J33" s="4">
        <v>2</v>
      </c>
      <c r="K33" s="5">
        <f>(3 * L33 * M33) / (2 * N33 * O33 * O33)</f>
        <v>118.9186965527368</v>
      </c>
      <c r="L33" s="5">
        <v>514.9</v>
      </c>
      <c r="M33" s="5">
        <v>30.5</v>
      </c>
      <c r="N33" s="5">
        <v>6.8949999999999996</v>
      </c>
      <c r="O33" s="5">
        <v>5.36</v>
      </c>
      <c r="P33" s="41"/>
    </row>
    <row r="34" spans="2:16" x14ac:dyDescent="0.3">
      <c r="B34" s="4">
        <v>3</v>
      </c>
      <c r="C34" s="5">
        <f>(3 * D34 * E34) / (2 * F34 * G34 * G34)</f>
        <v>98.021917407505484</v>
      </c>
      <c r="D34" s="5">
        <v>418.9</v>
      </c>
      <c r="E34" s="5">
        <v>30.5</v>
      </c>
      <c r="F34" s="5">
        <v>6.78</v>
      </c>
      <c r="G34" s="5">
        <v>5.37</v>
      </c>
      <c r="H34" s="41"/>
      <c r="J34" s="4">
        <v>3</v>
      </c>
      <c r="K34" s="5">
        <f>(3 * L34 * M34) / (2 * N34 * O34 * O34)</f>
        <v>91.852489296853676</v>
      </c>
      <c r="L34" s="5">
        <v>406.3</v>
      </c>
      <c r="M34" s="5">
        <v>30.5</v>
      </c>
      <c r="N34" s="5">
        <v>6.94</v>
      </c>
      <c r="O34" s="5">
        <v>5.4</v>
      </c>
      <c r="P34" s="41"/>
    </row>
    <row r="35" spans="2:16" x14ac:dyDescent="0.3">
      <c r="B35" s="4">
        <v>4</v>
      </c>
      <c r="C35" s="5">
        <f>(3 * D35 * E35) / (2 * F35 * G35 * G35)</f>
        <v>118.93625725729771</v>
      </c>
      <c r="D35" s="5">
        <v>516.70000000000005</v>
      </c>
      <c r="E35" s="5">
        <v>30.5</v>
      </c>
      <c r="F35" s="5">
        <v>6.97</v>
      </c>
      <c r="G35" s="5">
        <v>5.34</v>
      </c>
      <c r="H35" s="41"/>
      <c r="J35" s="4">
        <v>4</v>
      </c>
      <c r="K35" s="5">
        <f>(3 * L35 * M35) / (2 * N35 * O35 * O35)</f>
        <v>103.33920887105987</v>
      </c>
      <c r="L35" s="5">
        <v>458.7</v>
      </c>
      <c r="M35" s="5">
        <v>30.5</v>
      </c>
      <c r="N35" s="5">
        <v>6.99</v>
      </c>
      <c r="O35" s="5">
        <v>5.39</v>
      </c>
      <c r="P35" s="41"/>
    </row>
    <row r="36" spans="2:16" ht="14.5" thickBot="1" x14ac:dyDescent="0.35">
      <c r="B36" s="16">
        <v>5</v>
      </c>
      <c r="C36" s="17">
        <f>(3 * D36 * E36) / (2 * F36 * G36 * G36)</f>
        <v>81.711219741342617</v>
      </c>
      <c r="D36" s="17">
        <v>335.8</v>
      </c>
      <c r="E36" s="17">
        <v>30.5</v>
      </c>
      <c r="F36" s="17">
        <v>6.9</v>
      </c>
      <c r="G36" s="17">
        <v>5.22</v>
      </c>
      <c r="H36" s="42"/>
      <c r="J36" s="16">
        <v>5</v>
      </c>
      <c r="K36" s="17">
        <f>(3 * L36 * M36) / (2 * N36 * O36 * O36)</f>
        <v>91.397273893461758</v>
      </c>
      <c r="L36" s="17">
        <v>429.2</v>
      </c>
      <c r="M36" s="17">
        <v>30.5</v>
      </c>
      <c r="N36" s="17">
        <v>7</v>
      </c>
      <c r="O36" s="17">
        <v>5.54</v>
      </c>
      <c r="P36" s="42"/>
    </row>
    <row r="37" spans="2:16" x14ac:dyDescent="0.3">
      <c r="B37" s="27"/>
      <c r="C37" s="27" t="s">
        <v>25</v>
      </c>
      <c r="D37" s="27"/>
      <c r="E37" s="27"/>
      <c r="F37" s="27"/>
      <c r="G37" s="27"/>
      <c r="H37" s="27"/>
      <c r="J37" s="27"/>
      <c r="K37" s="27" t="s">
        <v>25</v>
      </c>
      <c r="L37" s="27"/>
      <c r="M37" s="27"/>
      <c r="N37" s="27"/>
      <c r="O37" s="27"/>
      <c r="P37" s="27"/>
    </row>
    <row r="38" spans="2:16" ht="14.5" thickBot="1" x14ac:dyDescent="0.35">
      <c r="B38" s="6"/>
      <c r="C38" s="4">
        <v>1</v>
      </c>
      <c r="D38" s="6">
        <v>2</v>
      </c>
      <c r="E38" s="6">
        <v>3</v>
      </c>
      <c r="F38" s="6">
        <v>4</v>
      </c>
      <c r="G38" s="6">
        <v>5</v>
      </c>
      <c r="H38" s="28"/>
      <c r="J38" s="6"/>
      <c r="K38" s="4">
        <v>1</v>
      </c>
      <c r="L38" s="6">
        <v>2</v>
      </c>
      <c r="M38" s="6">
        <v>3</v>
      </c>
      <c r="N38" s="6">
        <v>4</v>
      </c>
      <c r="O38" s="6">
        <v>5</v>
      </c>
      <c r="P38" s="28"/>
    </row>
    <row r="39" spans="2:16" x14ac:dyDescent="0.3">
      <c r="B39" s="3" t="s">
        <v>12</v>
      </c>
      <c r="C39" s="29">
        <v>4.4960000000000004</v>
      </c>
      <c r="D39" s="30">
        <v>4.4939999999999998</v>
      </c>
      <c r="E39" s="30">
        <v>4.4980000000000002</v>
      </c>
      <c r="F39" s="30">
        <v>4.492</v>
      </c>
      <c r="G39" s="30">
        <v>4.49</v>
      </c>
      <c r="H39" s="43" t="s">
        <v>24</v>
      </c>
      <c r="J39" s="3" t="s">
        <v>12</v>
      </c>
      <c r="K39" s="29">
        <v>4.49</v>
      </c>
      <c r="L39" s="30">
        <v>4.492</v>
      </c>
      <c r="M39" s="30">
        <v>4.4980000000000002</v>
      </c>
      <c r="N39" s="30">
        <v>4.5</v>
      </c>
      <c r="O39" s="30">
        <v>4.4960000000000004</v>
      </c>
      <c r="P39" s="43" t="s">
        <v>26</v>
      </c>
    </row>
    <row r="40" spans="2:16" ht="14.5" thickBot="1" x14ac:dyDescent="0.35">
      <c r="B40" s="10" t="s">
        <v>13</v>
      </c>
      <c r="C40" s="31">
        <v>4.37</v>
      </c>
      <c r="D40" s="32">
        <v>4.3579999999999997</v>
      </c>
      <c r="E40" s="32">
        <v>4.3479999999999999</v>
      </c>
      <c r="F40" s="32">
        <v>4.3559999999999999</v>
      </c>
      <c r="G40" s="32">
        <v>4.3479999999999999</v>
      </c>
      <c r="H40" s="44"/>
      <c r="J40" s="10" t="s">
        <v>13</v>
      </c>
      <c r="K40" s="31">
        <v>4.3620000000000001</v>
      </c>
      <c r="L40" s="32">
        <v>4.3639999999999999</v>
      </c>
      <c r="M40" s="32">
        <v>4.3659999999999997</v>
      </c>
      <c r="N40" s="32">
        <v>4.37</v>
      </c>
      <c r="O40" s="32">
        <v>4.3639999999999999</v>
      </c>
      <c r="P40" s="44"/>
    </row>
    <row r="41" spans="2:16" x14ac:dyDescent="0.3">
      <c r="B41" s="6"/>
      <c r="C41" s="25">
        <f>(C39-C40)/C39</f>
        <v>2.8024911032028543E-2</v>
      </c>
      <c r="D41" s="24">
        <f>(D39-D40) / D39</f>
        <v>3.0262572318647114E-2</v>
      </c>
      <c r="E41" s="24">
        <f>(E39-E40) / E39</f>
        <v>3.3348154735438049E-2</v>
      </c>
      <c r="F41" s="24">
        <f>(F39-F40) / F39</f>
        <v>3.0276046304541435E-2</v>
      </c>
      <c r="G41" s="24">
        <f>(G39-G40) / G39</f>
        <v>3.1625835189309656E-2</v>
      </c>
      <c r="H41" s="23">
        <f>AVERAGE(C41:G41)</f>
        <v>3.0707503915992963E-2</v>
      </c>
      <c r="J41" s="6"/>
      <c r="K41" s="25">
        <f>(K39-K40)/K39</f>
        <v>2.8507795100222742E-2</v>
      </c>
      <c r="L41" s="24">
        <f>(L39-L40) / L39</f>
        <v>2.8495102404274292E-2</v>
      </c>
      <c r="M41" s="24">
        <f>(M39-M40) / M39</f>
        <v>2.934637616718554E-2</v>
      </c>
      <c r="N41" s="24">
        <f>(N39-N40) / N39</f>
        <v>2.8888888888888867E-2</v>
      </c>
      <c r="O41" s="24">
        <f>(O39-O40) / O39</f>
        <v>2.9359430604982327E-2</v>
      </c>
      <c r="P41" s="23">
        <f>AVERAGE(K41:O41)</f>
        <v>2.8919518633110753E-2</v>
      </c>
    </row>
    <row r="42" spans="2:16" ht="20" customHeight="1" x14ac:dyDescent="0.3"/>
    <row r="43" spans="2:16" ht="20" customHeight="1" thickBot="1" x14ac:dyDescent="0.35"/>
    <row r="44" spans="2:16" x14ac:dyDescent="0.3">
      <c r="B44" s="12"/>
      <c r="C44" s="13" t="s">
        <v>1</v>
      </c>
      <c r="D44" s="3" t="s">
        <v>2</v>
      </c>
      <c r="E44" s="3" t="s">
        <v>3</v>
      </c>
      <c r="F44" s="3" t="s">
        <v>4</v>
      </c>
      <c r="G44" s="3" t="s">
        <v>5</v>
      </c>
      <c r="H44" s="14" t="s">
        <v>6</v>
      </c>
      <c r="J44" s="12"/>
      <c r="K44" s="13" t="s">
        <v>1</v>
      </c>
      <c r="L44" s="3" t="s">
        <v>2</v>
      </c>
      <c r="M44" s="3" t="s">
        <v>3</v>
      </c>
      <c r="N44" s="3" t="s">
        <v>4</v>
      </c>
      <c r="O44" s="3" t="s">
        <v>5</v>
      </c>
      <c r="P44" s="14" t="s">
        <v>6</v>
      </c>
    </row>
    <row r="45" spans="2:16" ht="14.5" thickBot="1" x14ac:dyDescent="0.35">
      <c r="B45" s="15" t="s">
        <v>7</v>
      </c>
      <c r="C45" s="6" t="s">
        <v>8</v>
      </c>
      <c r="D45" s="6" t="s">
        <v>9</v>
      </c>
      <c r="E45" s="6" t="s">
        <v>10</v>
      </c>
      <c r="F45" s="6" t="s">
        <v>10</v>
      </c>
      <c r="G45" s="6" t="s">
        <v>10</v>
      </c>
      <c r="H45" s="7">
        <v>20</v>
      </c>
      <c r="J45" s="15" t="s">
        <v>7</v>
      </c>
      <c r="K45" s="6" t="s">
        <v>8</v>
      </c>
      <c r="L45" s="6" t="s">
        <v>9</v>
      </c>
      <c r="M45" s="6" t="s">
        <v>10</v>
      </c>
      <c r="N45" s="6" t="s">
        <v>10</v>
      </c>
      <c r="O45" s="6" t="s">
        <v>10</v>
      </c>
      <c r="P45" s="7">
        <v>20</v>
      </c>
    </row>
    <row r="46" spans="2:16" x14ac:dyDescent="0.3">
      <c r="B46" s="4">
        <v>1</v>
      </c>
      <c r="C46" s="5">
        <f>(3 * D46 * E46) / (2 * F46 * G46^2 )</f>
        <v>120.05770345264779</v>
      </c>
      <c r="D46" s="5">
        <v>524.6</v>
      </c>
      <c r="E46" s="5">
        <v>30.5</v>
      </c>
      <c r="F46" s="5">
        <v>6.78</v>
      </c>
      <c r="G46" s="5">
        <v>5.43</v>
      </c>
      <c r="H46" s="40" t="s">
        <v>27</v>
      </c>
      <c r="J46" s="4">
        <v>1</v>
      </c>
      <c r="K46" s="5">
        <f>(3 * L46 * M46) / (2 * N46 * O46^2 )</f>
        <v>88.127905657674219</v>
      </c>
      <c r="L46" s="5">
        <v>387.5</v>
      </c>
      <c r="M46" s="5">
        <v>30.5</v>
      </c>
      <c r="N46" s="5">
        <v>6.95</v>
      </c>
      <c r="O46" s="5">
        <v>5.38</v>
      </c>
      <c r="P46" s="40" t="s">
        <v>28</v>
      </c>
    </row>
    <row r="47" spans="2:16" x14ac:dyDescent="0.3">
      <c r="B47" s="4">
        <v>2</v>
      </c>
      <c r="C47" s="5">
        <f>(3 * D47 * E47) / (2 * F47 * G47 * G47)</f>
        <v>68.907156198417155</v>
      </c>
      <c r="D47" s="5">
        <v>322.2</v>
      </c>
      <c r="E47" s="5">
        <v>30.5</v>
      </c>
      <c r="F47" s="5">
        <v>6.97</v>
      </c>
      <c r="G47" s="5">
        <v>5.54</v>
      </c>
      <c r="H47" s="41"/>
      <c r="J47" s="4">
        <v>2</v>
      </c>
      <c r="K47" s="5">
        <f>(3 * L47 * M47) / (2 * N47 * O47 * O47)</f>
        <v>74.401918885177992</v>
      </c>
      <c r="L47" s="5">
        <v>361.6</v>
      </c>
      <c r="M47" s="5">
        <v>30.5</v>
      </c>
      <c r="N47" s="5">
        <v>6.99</v>
      </c>
      <c r="O47" s="5">
        <v>5.64</v>
      </c>
      <c r="P47" s="41"/>
    </row>
    <row r="48" spans="2:16" x14ac:dyDescent="0.3">
      <c r="B48" s="4">
        <v>3</v>
      </c>
      <c r="C48" s="5">
        <f>(3 * D48 * E48) / (2 * F48 * G48 * G48)</f>
        <v>103.18125158123819</v>
      </c>
      <c r="D48" s="5">
        <v>482.1</v>
      </c>
      <c r="E48" s="5">
        <v>30.5</v>
      </c>
      <c r="F48" s="5">
        <v>6.99</v>
      </c>
      <c r="G48" s="5">
        <v>5.53</v>
      </c>
      <c r="H48" s="41"/>
      <c r="J48" s="4">
        <v>3</v>
      </c>
      <c r="K48" s="5">
        <f>(3 * L48 * M48) / (2 * N48 * O48 * O48)</f>
        <v>83.587528347038642</v>
      </c>
      <c r="L48" s="5">
        <v>394.8</v>
      </c>
      <c r="M48" s="5">
        <v>30.5</v>
      </c>
      <c r="N48" s="5">
        <v>6.99</v>
      </c>
      <c r="O48" s="5">
        <v>5.56</v>
      </c>
      <c r="P48" s="41"/>
    </row>
    <row r="49" spans="2:16" x14ac:dyDescent="0.3">
      <c r="B49" s="4">
        <v>4</v>
      </c>
      <c r="C49" s="5">
        <f>(3 * D49 * E49) / (2 * F49 * G49 * G49)</f>
        <v>53.327554636238773</v>
      </c>
      <c r="D49" s="5">
        <v>266.2</v>
      </c>
      <c r="E49" s="5">
        <v>30.5</v>
      </c>
      <c r="F49" s="5">
        <v>6.98</v>
      </c>
      <c r="G49" s="5">
        <v>5.72</v>
      </c>
      <c r="H49" s="41"/>
      <c r="J49" s="4">
        <v>4</v>
      </c>
      <c r="K49" s="5">
        <f>(3 * L49 * M49) / (2 * N49 * O49 * O49)</f>
        <v>92.274039526610622</v>
      </c>
      <c r="L49" s="5">
        <v>426.8</v>
      </c>
      <c r="M49" s="5">
        <v>30.5</v>
      </c>
      <c r="N49" s="5">
        <v>6.97</v>
      </c>
      <c r="O49" s="5">
        <v>5.51</v>
      </c>
      <c r="P49" s="41"/>
    </row>
    <row r="50" spans="2:16" ht="14.5" thickBot="1" x14ac:dyDescent="0.35">
      <c r="B50" s="16">
        <v>5</v>
      </c>
      <c r="C50" s="17">
        <f>(3 * D50 * E50) / (2 * F50 * G50 * G50)</f>
        <v>92.347346612505916</v>
      </c>
      <c r="D50" s="17">
        <v>556.79999999999995</v>
      </c>
      <c r="E50" s="17">
        <v>30.5</v>
      </c>
      <c r="F50" s="17">
        <v>6.95</v>
      </c>
      <c r="G50" s="17">
        <v>6.3</v>
      </c>
      <c r="H50" s="42"/>
      <c r="J50" s="16">
        <v>5</v>
      </c>
      <c r="K50" s="17">
        <f>(3 * L50 * M50) / (2 * N50 * O50 * O50)</f>
        <v>87.155393387738002</v>
      </c>
      <c r="L50" s="17">
        <v>393.3</v>
      </c>
      <c r="M50" s="17">
        <v>30.5</v>
      </c>
      <c r="N50" s="17">
        <v>7.08</v>
      </c>
      <c r="O50" s="17">
        <v>5.4</v>
      </c>
      <c r="P50" s="42"/>
    </row>
    <row r="51" spans="2:16" x14ac:dyDescent="0.3">
      <c r="B51" s="27"/>
      <c r="C51" s="27" t="s">
        <v>25</v>
      </c>
      <c r="D51" s="27"/>
      <c r="E51" s="27"/>
      <c r="F51" s="27"/>
      <c r="G51" s="27"/>
      <c r="H51" s="27"/>
      <c r="J51" s="27"/>
      <c r="K51" s="27" t="s">
        <v>25</v>
      </c>
      <c r="L51" s="27"/>
      <c r="M51" s="27"/>
      <c r="N51" s="27"/>
      <c r="O51" s="27"/>
      <c r="P51" s="27"/>
    </row>
    <row r="52" spans="2:16" ht="14.5" thickBot="1" x14ac:dyDescent="0.35">
      <c r="B52" s="6"/>
      <c r="C52" s="4">
        <v>1</v>
      </c>
      <c r="D52" s="6">
        <v>2</v>
      </c>
      <c r="E52" s="6">
        <v>3</v>
      </c>
      <c r="F52" s="6">
        <v>4</v>
      </c>
      <c r="G52" s="6">
        <v>5</v>
      </c>
      <c r="H52" s="28"/>
      <c r="J52" s="6"/>
      <c r="K52" s="4">
        <v>1</v>
      </c>
      <c r="L52" s="6">
        <v>2</v>
      </c>
      <c r="M52" s="6">
        <v>3</v>
      </c>
      <c r="N52" s="6">
        <v>4</v>
      </c>
      <c r="O52" s="6">
        <v>5</v>
      </c>
      <c r="P52" s="28"/>
    </row>
    <row r="53" spans="2:16" x14ac:dyDescent="0.3">
      <c r="B53" s="3" t="s">
        <v>12</v>
      </c>
      <c r="C53" s="29">
        <v>4.4960000000000004</v>
      </c>
      <c r="D53" s="30">
        <v>4.4960000000000004</v>
      </c>
      <c r="E53" s="30">
        <v>4.4980000000000002</v>
      </c>
      <c r="F53" s="30">
        <v>4.4960000000000004</v>
      </c>
      <c r="G53" s="30">
        <v>4.4939999999999998</v>
      </c>
      <c r="H53" s="43" t="s">
        <v>27</v>
      </c>
      <c r="J53" s="3" t="s">
        <v>12</v>
      </c>
      <c r="K53" s="29">
        <v>4.492</v>
      </c>
      <c r="L53" s="30">
        <v>4.4939999999999998</v>
      </c>
      <c r="M53" s="30">
        <v>4.4939999999999998</v>
      </c>
      <c r="N53" s="30">
        <v>4.49</v>
      </c>
      <c r="O53" s="30">
        <v>4.4880000000000004</v>
      </c>
      <c r="P53" s="43" t="s">
        <v>28</v>
      </c>
    </row>
    <row r="54" spans="2:16" ht="14.5" thickBot="1" x14ac:dyDescent="0.35">
      <c r="B54" s="10" t="s">
        <v>13</v>
      </c>
      <c r="C54" s="31">
        <v>4.3659999999999997</v>
      </c>
      <c r="D54" s="32">
        <v>4.3659999999999997</v>
      </c>
      <c r="E54" s="32">
        <v>4.3680000000000003</v>
      </c>
      <c r="F54" s="32">
        <v>4.3639999999999999</v>
      </c>
      <c r="G54" s="32">
        <v>4.3639999999999999</v>
      </c>
      <c r="H54" s="44"/>
      <c r="J54" s="10" t="s">
        <v>13</v>
      </c>
      <c r="K54" s="31">
        <v>4.3959999999999999</v>
      </c>
      <c r="L54" s="32">
        <v>4.4000000000000004</v>
      </c>
      <c r="M54" s="32">
        <v>4.3979999999999997</v>
      </c>
      <c r="N54" s="32">
        <v>4.3940000000000001</v>
      </c>
      <c r="O54" s="32">
        <v>4.3979999999999997</v>
      </c>
      <c r="P54" s="44"/>
    </row>
    <row r="55" spans="2:16" x14ac:dyDescent="0.3">
      <c r="B55" s="6"/>
      <c r="C55" s="25">
        <f>(C53-C54)/C53</f>
        <v>2.8914590747331131E-2</v>
      </c>
      <c r="D55" s="24">
        <f>(D53-D54) / D53</f>
        <v>2.8914590747331131E-2</v>
      </c>
      <c r="E55" s="24">
        <f>(E53-E54) / E53</f>
        <v>2.8901734104046218E-2</v>
      </c>
      <c r="F55" s="24">
        <f>(F53-F54) / F53</f>
        <v>2.9359430604982327E-2</v>
      </c>
      <c r="G55" s="24">
        <f>(G53-G54) / G53</f>
        <v>2.8927458834000868E-2</v>
      </c>
      <c r="H55" s="23">
        <f>AVERAGE(C55:G55)</f>
        <v>2.9003561007538332E-2</v>
      </c>
      <c r="J55" s="6"/>
      <c r="K55" s="25">
        <f>(K53-K54)/K53</f>
        <v>2.1371326803205717E-2</v>
      </c>
      <c r="L55" s="24">
        <f>(L53-L54) / L53</f>
        <v>2.0916777926123592E-2</v>
      </c>
      <c r="M55" s="24">
        <f>(M53-M54) / M53</f>
        <v>2.1361815754339139E-2</v>
      </c>
      <c r="N55" s="24">
        <f>(N53-N54) / N53</f>
        <v>2.1380846325167055E-2</v>
      </c>
      <c r="O55" s="24">
        <f>(O53-O54) / O53</f>
        <v>2.005347593582904E-2</v>
      </c>
      <c r="P55" s="23">
        <f>AVERAGE(K55:O55)</f>
        <v>2.1016848548932911E-2</v>
      </c>
    </row>
    <row r="56" spans="2:16" ht="20" customHeight="1" x14ac:dyDescent="0.3"/>
    <row r="57" spans="2:16" ht="20" customHeight="1" x14ac:dyDescent="0.3"/>
  </sheetData>
  <mergeCells count="16">
    <mergeCell ref="H53:H54"/>
    <mergeCell ref="P46:P50"/>
    <mergeCell ref="P53:P54"/>
    <mergeCell ref="H32:H36"/>
    <mergeCell ref="H39:H40"/>
    <mergeCell ref="P32:P36"/>
    <mergeCell ref="P39:P40"/>
    <mergeCell ref="H46:H50"/>
    <mergeCell ref="H2:H5"/>
    <mergeCell ref="P4:P8"/>
    <mergeCell ref="H11:H12"/>
    <mergeCell ref="P18:P22"/>
    <mergeCell ref="P25:P26"/>
    <mergeCell ref="H18:H22"/>
    <mergeCell ref="H25:H26"/>
    <mergeCell ref="P11:P12"/>
  </mergeCells>
  <phoneticPr fontId="2" type="noConversion"/>
  <conditionalFormatting sqref="C2:C6">
    <cfRule type="top10" dxfId="31" priority="37" bottom="1" rank="1"/>
    <cfRule type="top10" dxfId="30" priority="38" rank="1"/>
  </conditionalFormatting>
  <conditionalFormatting sqref="C18:C22">
    <cfRule type="top10" dxfId="29" priority="23" bottom="1" rank="1"/>
    <cfRule type="top10" dxfId="28" priority="24" rank="1"/>
  </conditionalFormatting>
  <conditionalFormatting sqref="C32:C36">
    <cfRule type="top10" dxfId="27" priority="19" bottom="1" rank="1"/>
    <cfRule type="top10" dxfId="26" priority="20" rank="1"/>
  </conditionalFormatting>
  <conditionalFormatting sqref="C46:C50">
    <cfRule type="top10" dxfId="25" priority="11" bottom="1" rank="1"/>
    <cfRule type="top10" dxfId="24" priority="12" rank="1"/>
  </conditionalFormatting>
  <conditionalFormatting sqref="C27:G28">
    <cfRule type="top10" dxfId="23" priority="21" bottom="1" rank="1"/>
    <cfRule type="top10" dxfId="22" priority="22" rank="1"/>
  </conditionalFormatting>
  <conditionalFormatting sqref="C41:G41">
    <cfRule type="top10" dxfId="21" priority="17" bottom="1" rank="1"/>
    <cfRule type="top10" dxfId="20" priority="18" rank="1"/>
  </conditionalFormatting>
  <conditionalFormatting sqref="C55:G55">
    <cfRule type="top10" dxfId="19" priority="9" bottom="1" rank="1"/>
    <cfRule type="top10" dxfId="18" priority="10" rank="1"/>
  </conditionalFormatting>
  <conditionalFormatting sqref="C15:I15 C13:H14">
    <cfRule type="top10" dxfId="17" priority="31" bottom="1" rank="1"/>
    <cfRule type="top10" dxfId="16" priority="32" rank="1"/>
  </conditionalFormatting>
  <conditionalFormatting sqref="K4:K8">
    <cfRule type="top10" dxfId="15" priority="39" bottom="1" rank="1"/>
    <cfRule type="top10" dxfId="14" priority="40" rank="1"/>
  </conditionalFormatting>
  <conditionalFormatting sqref="K18:K22">
    <cfRule type="top10" dxfId="13" priority="27" bottom="1" rank="1"/>
    <cfRule type="top10" dxfId="12" priority="28" rank="1"/>
  </conditionalFormatting>
  <conditionalFormatting sqref="K32:K36">
    <cfRule type="top10" dxfId="11" priority="15" bottom="1" rank="1"/>
    <cfRule type="top10" dxfId="10" priority="16" rank="1"/>
  </conditionalFormatting>
  <conditionalFormatting sqref="K46:K50">
    <cfRule type="top10" dxfId="9" priority="7" bottom="1" rank="1"/>
    <cfRule type="top10" dxfId="8" priority="8" rank="1"/>
  </conditionalFormatting>
  <conditionalFormatting sqref="K13:O14">
    <cfRule type="top10" dxfId="7" priority="41" bottom="1" rank="1"/>
    <cfRule type="top10" dxfId="6" priority="42" rank="1"/>
  </conditionalFormatting>
  <conditionalFormatting sqref="K27:O28">
    <cfRule type="top10" dxfId="5" priority="25" bottom="1" rank="1"/>
    <cfRule type="top10" dxfId="4" priority="26" rank="1"/>
  </conditionalFormatting>
  <conditionalFormatting sqref="K41:O41">
    <cfRule type="top10" dxfId="3" priority="13" bottom="1" rank="1"/>
    <cfRule type="top10" dxfId="2" priority="14" rank="1"/>
  </conditionalFormatting>
  <conditionalFormatting sqref="K55:O55">
    <cfRule type="top10" dxfId="1" priority="5" bottom="1" rank="1"/>
    <cfRule type="top10" dxfId="0" priority="6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87D7-54AC-49A0-B71C-8509F92E885B}">
  <dimension ref="A1:I7"/>
  <sheetViews>
    <sheetView showGridLines="0" tabSelected="1" zoomScale="170" zoomScaleNormal="170" workbookViewId="0">
      <selection activeCell="C12" sqref="C12"/>
    </sheetView>
  </sheetViews>
  <sheetFormatPr defaultRowHeight="14" x14ac:dyDescent="0.3"/>
  <cols>
    <col min="1" max="9" width="6.58203125" style="33" customWidth="1"/>
    <col min="10" max="13" width="6.58203125" customWidth="1"/>
  </cols>
  <sheetData>
    <row r="1" spans="1:9" x14ac:dyDescent="0.3">
      <c r="B1" s="33" t="s">
        <v>15</v>
      </c>
      <c r="C1" s="33" t="s">
        <v>16</v>
      </c>
      <c r="D1" s="33" t="s">
        <v>17</v>
      </c>
      <c r="E1" s="33" t="s">
        <v>18</v>
      </c>
      <c r="F1" s="33" t="s">
        <v>19</v>
      </c>
      <c r="G1" s="33" t="s">
        <v>20</v>
      </c>
      <c r="H1" s="33" t="s">
        <v>21</v>
      </c>
      <c r="I1" s="33" t="s">
        <v>22</v>
      </c>
    </row>
    <row r="2" spans="1:9" x14ac:dyDescent="0.3">
      <c r="A2" s="33">
        <v>1</v>
      </c>
      <c r="B2" s="35">
        <v>108.49</v>
      </c>
      <c r="C2" s="35">
        <v>132.21</v>
      </c>
      <c r="D2" s="35">
        <v>98.87</v>
      </c>
      <c r="E2" s="35">
        <v>119.31</v>
      </c>
      <c r="F2" s="35">
        <v>56.8</v>
      </c>
      <c r="G2" s="35">
        <v>101.1</v>
      </c>
      <c r="H2" s="35">
        <v>120.06</v>
      </c>
      <c r="I2" s="35">
        <v>88.13</v>
      </c>
    </row>
    <row r="3" spans="1:9" x14ac:dyDescent="0.3">
      <c r="A3" s="33">
        <v>2</v>
      </c>
      <c r="B3" s="35">
        <v>112.34</v>
      </c>
      <c r="C3" s="35">
        <v>107.25</v>
      </c>
      <c r="D3" s="35">
        <v>134.18</v>
      </c>
      <c r="E3" s="35">
        <v>124.59</v>
      </c>
      <c r="F3" s="35">
        <v>108.02</v>
      </c>
      <c r="G3" s="35">
        <v>118.92</v>
      </c>
      <c r="H3" s="35">
        <v>69.91</v>
      </c>
      <c r="I3" s="35">
        <v>74.400000000000006</v>
      </c>
    </row>
    <row r="4" spans="1:9" x14ac:dyDescent="0.3">
      <c r="A4" s="33">
        <v>3</v>
      </c>
      <c r="B4" s="35">
        <v>126.53</v>
      </c>
      <c r="C4" s="35">
        <v>108.07</v>
      </c>
      <c r="D4" s="35">
        <v>88.94</v>
      </c>
      <c r="E4" s="35">
        <v>101.18</v>
      </c>
      <c r="F4" s="35">
        <v>98.02</v>
      </c>
      <c r="G4" s="35">
        <v>91.85</v>
      </c>
      <c r="H4" s="35">
        <v>103.18</v>
      </c>
      <c r="I4" s="35">
        <v>83.59</v>
      </c>
    </row>
    <row r="5" spans="1:9" x14ac:dyDescent="0.3">
      <c r="A5" s="33">
        <v>4</v>
      </c>
      <c r="B5" s="35">
        <v>124.05</v>
      </c>
      <c r="C5" s="35">
        <v>125.07</v>
      </c>
      <c r="D5" s="35">
        <v>122.22</v>
      </c>
      <c r="E5" s="35">
        <v>130.27000000000001</v>
      </c>
      <c r="F5" s="35">
        <v>118.94</v>
      </c>
      <c r="G5" s="35">
        <v>103.34</v>
      </c>
      <c r="H5" s="35">
        <v>53.33</v>
      </c>
      <c r="I5" s="35">
        <v>92.27</v>
      </c>
    </row>
    <row r="6" spans="1:9" x14ac:dyDescent="0.3">
      <c r="A6" s="33">
        <v>5</v>
      </c>
      <c r="B6" s="35">
        <v>77.62</v>
      </c>
      <c r="C6" s="35">
        <v>98.32</v>
      </c>
      <c r="D6" s="35">
        <v>137.34</v>
      </c>
      <c r="E6" s="35">
        <v>114.43</v>
      </c>
      <c r="F6" s="35">
        <v>81.709999999999994</v>
      </c>
      <c r="G6" s="35">
        <v>91.4</v>
      </c>
      <c r="H6" s="35">
        <v>92.35</v>
      </c>
      <c r="I6" s="35">
        <v>87.16</v>
      </c>
    </row>
    <row r="7" spans="1:9" s="34" customFormat="1" x14ac:dyDescent="0.3">
      <c r="A7" s="36" t="s">
        <v>29</v>
      </c>
      <c r="B7" s="37">
        <v>117.85250000000001</v>
      </c>
      <c r="C7" s="37">
        <v>109.67749999999999</v>
      </c>
      <c r="D7" s="37">
        <v>131.246667</v>
      </c>
      <c r="E7" s="37">
        <v>117.956</v>
      </c>
      <c r="F7" s="37">
        <v>108.326667</v>
      </c>
      <c r="G7" s="37">
        <v>96.922499999999999</v>
      </c>
      <c r="H7" s="37">
        <v>105.19666700000001</v>
      </c>
      <c r="I7" s="37">
        <v>85.11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07257-05C5-429B-BE79-24D36CE7DE44}">
  <dimension ref="A1:I7"/>
  <sheetViews>
    <sheetView showGridLines="0" zoomScale="180" zoomScaleNormal="180" workbookViewId="0">
      <selection activeCell="I10" sqref="I10"/>
    </sheetView>
  </sheetViews>
  <sheetFormatPr defaultRowHeight="14" x14ac:dyDescent="0.3"/>
  <cols>
    <col min="1" max="11" width="6.08203125" customWidth="1"/>
  </cols>
  <sheetData>
    <row r="1" spans="1:9" x14ac:dyDescent="0.3">
      <c r="B1" s="33" t="s">
        <v>30</v>
      </c>
      <c r="C1" s="33" t="s">
        <v>31</v>
      </c>
      <c r="D1" s="33" t="s">
        <v>32</v>
      </c>
      <c r="E1" s="33" t="s">
        <v>33</v>
      </c>
      <c r="F1" s="33" t="s">
        <v>34</v>
      </c>
      <c r="G1" s="33" t="s">
        <v>35</v>
      </c>
      <c r="H1" s="33" t="s">
        <v>36</v>
      </c>
      <c r="I1" s="33" t="s">
        <v>37</v>
      </c>
    </row>
    <row r="2" spans="1:9" x14ac:dyDescent="0.3">
      <c r="A2" s="33">
        <v>1</v>
      </c>
      <c r="B2" s="38">
        <v>3.7900000000000003E-2</v>
      </c>
      <c r="C2" s="38">
        <v>3.9600000000000003E-2</v>
      </c>
      <c r="D2" s="38">
        <v>3.8199999999999998E-2</v>
      </c>
      <c r="E2" s="38">
        <v>3.5200000000000002E-2</v>
      </c>
      <c r="F2" s="38">
        <v>2.8000000000000001E-2</v>
      </c>
      <c r="G2" s="38">
        <v>2.8500000000000001E-2</v>
      </c>
      <c r="H2" s="38">
        <v>2.8899999999999999E-2</v>
      </c>
      <c r="I2" s="38">
        <v>2.1399999999999999E-2</v>
      </c>
    </row>
    <row r="3" spans="1:9" x14ac:dyDescent="0.3">
      <c r="A3" s="33">
        <v>2</v>
      </c>
      <c r="B3" s="38">
        <v>3.4799999999999998E-2</v>
      </c>
      <c r="C3" s="38">
        <v>3.7400000000000003E-2</v>
      </c>
      <c r="D3" s="38">
        <v>3.6499999999999998E-2</v>
      </c>
      <c r="E3" s="38">
        <v>3.4299999999999997E-2</v>
      </c>
      <c r="F3" s="38">
        <v>3.0300000000000001E-2</v>
      </c>
      <c r="G3" s="38">
        <v>2.8500000000000001E-2</v>
      </c>
      <c r="H3" s="38">
        <v>2.8899999999999999E-2</v>
      </c>
      <c r="I3" s="38">
        <v>2.0899999999999998E-2</v>
      </c>
    </row>
    <row r="4" spans="1:9" x14ac:dyDescent="0.3">
      <c r="A4" s="33">
        <v>3</v>
      </c>
      <c r="B4" s="38">
        <v>3.6600000000000001E-2</v>
      </c>
      <c r="C4" s="38">
        <v>3.3799999999999997E-2</v>
      </c>
      <c r="D4" s="38">
        <v>3.8699999999999998E-2</v>
      </c>
      <c r="E4" s="38">
        <v>3.56E-2</v>
      </c>
      <c r="F4" s="38">
        <v>3.3300000000000003E-2</v>
      </c>
      <c r="G4" s="38">
        <v>2.93E-2</v>
      </c>
      <c r="H4" s="38">
        <v>2.8899999999999999E-2</v>
      </c>
      <c r="I4" s="38">
        <v>2.1399999999999999E-2</v>
      </c>
    </row>
    <row r="5" spans="1:9" x14ac:dyDescent="0.3">
      <c r="A5" s="33">
        <v>4</v>
      </c>
      <c r="B5" s="38">
        <v>3.7699999999999997E-2</v>
      </c>
      <c r="C5" s="38">
        <v>3.78E-2</v>
      </c>
      <c r="D5" s="38">
        <v>3.8699999999999998E-2</v>
      </c>
      <c r="E5" s="38">
        <v>3.73E-2</v>
      </c>
      <c r="F5" s="38">
        <v>3.0300000000000001E-2</v>
      </c>
      <c r="G5" s="38">
        <v>2.8899999999999999E-2</v>
      </c>
      <c r="H5" s="38">
        <v>2.9399999999999999E-2</v>
      </c>
      <c r="I5" s="38">
        <v>2.1399999999999999E-2</v>
      </c>
    </row>
    <row r="6" spans="1:9" x14ac:dyDescent="0.3">
      <c r="A6" s="33">
        <v>5</v>
      </c>
      <c r="B6" s="38">
        <v>3.39E-2</v>
      </c>
      <c r="C6" s="38">
        <v>4.0399999999999998E-2</v>
      </c>
      <c r="D6" s="38">
        <v>3.7900000000000003E-2</v>
      </c>
      <c r="E6" s="38">
        <v>3.7400000000000003E-2</v>
      </c>
      <c r="F6" s="38">
        <v>3.1600000000000003E-2</v>
      </c>
      <c r="G6" s="38">
        <v>2.9399999999999999E-2</v>
      </c>
      <c r="H6" s="38">
        <v>2.8899999999999999E-2</v>
      </c>
      <c r="I6" s="38">
        <v>2.01E-2</v>
      </c>
    </row>
    <row r="7" spans="1:9" x14ac:dyDescent="0.3">
      <c r="A7" s="33" t="s">
        <v>29</v>
      </c>
      <c r="B7" s="39">
        <f>AVERAGE(B2:B6)</f>
        <v>3.6180000000000004E-2</v>
      </c>
      <c r="C7" s="39">
        <f t="shared" ref="C7:I7" si="0">AVERAGE(C2:C6)</f>
        <v>3.78E-2</v>
      </c>
      <c r="D7" s="39">
        <f t="shared" si="0"/>
        <v>3.7999999999999999E-2</v>
      </c>
      <c r="E7" s="39">
        <f t="shared" si="0"/>
        <v>3.5960000000000006E-2</v>
      </c>
      <c r="F7" s="39">
        <f t="shared" si="0"/>
        <v>3.0700000000000005E-2</v>
      </c>
      <c r="G7" s="39">
        <f t="shared" si="0"/>
        <v>2.8920000000000001E-2</v>
      </c>
      <c r="H7" s="39">
        <f t="shared" si="0"/>
        <v>2.8999999999999998E-2</v>
      </c>
      <c r="I7" s="39">
        <f t="shared" si="0"/>
        <v>2.1039999999999996E-2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总数据</vt:lpstr>
      <vt:lpstr>抗折强度</vt:lpstr>
      <vt:lpstr>线收缩率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W</dc:creator>
  <cp:lastModifiedBy>Grant W</cp:lastModifiedBy>
  <dcterms:created xsi:type="dcterms:W3CDTF">2015-06-05T18:19:34Z</dcterms:created>
  <dcterms:modified xsi:type="dcterms:W3CDTF">2026-03-26T13:05:23Z</dcterms:modified>
</cp:coreProperties>
</file>